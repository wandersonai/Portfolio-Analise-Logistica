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shboard" sheetId="2" r:id="rId6"/>
    <sheet state="visible" name="Tabela dinâmic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<sst xmlns="http://schemas.openxmlformats.org/spreadsheetml/2006/main" count="93" uniqueCount="48">
  <si>
    <t>Código</t>
  </si>
  <si>
    <t>Produto</t>
  </si>
  <si>
    <t>Categoria</t>
  </si>
  <si>
    <t>Entrada</t>
  </si>
  <si>
    <t>Saída</t>
  </si>
  <si>
    <t>Estoque Mínimo</t>
  </si>
  <si>
    <t>Saldo Atual</t>
  </si>
  <si>
    <t>Situação</t>
  </si>
  <si>
    <t>P001</t>
  </si>
  <si>
    <t>Arroz</t>
  </si>
  <si>
    <t>Alimentos</t>
  </si>
  <si>
    <t>P002</t>
  </si>
  <si>
    <t>Feijão</t>
  </si>
  <si>
    <t>P003</t>
  </si>
  <si>
    <t>Café</t>
  </si>
  <si>
    <t>P004</t>
  </si>
  <si>
    <t>Açúcar</t>
  </si>
  <si>
    <t>P005</t>
  </si>
  <si>
    <t>Óleo</t>
  </si>
  <si>
    <t>P006</t>
  </si>
  <si>
    <t>Refrigerante</t>
  </si>
  <si>
    <t>Bebidas</t>
  </si>
  <si>
    <t>P007</t>
  </si>
  <si>
    <t>Água</t>
  </si>
  <si>
    <t>P008</t>
  </si>
  <si>
    <t>Suco</t>
  </si>
  <si>
    <t>P009</t>
  </si>
  <si>
    <t>Biscoito</t>
  </si>
  <si>
    <t>Mercearia</t>
  </si>
  <si>
    <t>P010</t>
  </si>
  <si>
    <t>Macarrão</t>
  </si>
  <si>
    <t xml:space="preserve">DASHBOARD DE CONTROLE DE ESTOQUE  </t>
  </si>
  <si>
    <t>Total de Produtos</t>
  </si>
  <si>
    <t>Produtos Críticos</t>
  </si>
  <si>
    <t>Saldo Total</t>
  </si>
  <si>
    <t>Total de Entradas</t>
  </si>
  <si>
    <t>Total de Saídas</t>
  </si>
  <si>
    <t>Estoque Crítico × Normal</t>
  </si>
  <si>
    <t>Saldo por Categoria</t>
  </si>
  <si>
    <t>Entradas por Produto</t>
  </si>
  <si>
    <t>Saídas por Produto</t>
  </si>
  <si>
    <t>COUNTA de Código</t>
  </si>
  <si>
    <t>SUM de Saldo Atual</t>
  </si>
  <si>
    <t>Crítico</t>
  </si>
  <si>
    <t>Normal</t>
  </si>
  <si>
    <t>Total geral</t>
  </si>
  <si>
    <t>SUM de Entrada</t>
  </si>
  <si>
    <t>SUM de 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</si>
</sst>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9.0"/>
      <color rgb="FF1C4587"/>
      <name val="Arial"/>
      <scheme val="minor"/>
    </font>
    <font/>
    <font>
      <b/>
      <sz val="19.0"/>
      <color theme="1"/>
      <name val="Arial"/>
      <scheme val="minor"/>
    </font>
    <font>
      <b/>
      <sz val="11.0"/>
      <color theme="1"/>
      <name val="Arial"/>
      <scheme val="minor"/>
    </font>
    <font>
      <b/>
      <sz val="19.0"/>
      <color rgb="FFFFFFFF"/>
      <name val="Arial"/>
      <scheme val="minor"/>
    </font>
    <font>
      <b/>
      <sz val="19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 readingOrder="0"/>
    </xf>
    <xf borderId="1" fillId="2" fontId="6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Estoque Crítico x Normal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dinâmica'!$A$1:$A$3</c:f>
            </c:strRef>
          </c:cat>
          <c:val>
            <c:numRef>
              <c:f>'Tabela dinâmica'!$B$1:$B$3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Saldo Atual versus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dinâmica'!$D$2:$D$4</c:f>
            </c:strRef>
          </c:cat>
          <c:val>
            <c:numRef>
              <c:f>'Tabela dinâmica'!$E$2:$E$4</c:f>
              <c:numCache/>
            </c:numRef>
          </c:val>
        </c:ser>
        <c:axId val="127395136"/>
        <c:axId val="1241589489"/>
      </c:barChart>
      <c:catAx>
        <c:axId val="12739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589489"/>
      </c:catAx>
      <c:valAx>
        <c:axId val="1241589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Saldo Atual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95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Entrada por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dinâmica'!$A$8:$A$17</c:f>
            </c:strRef>
          </c:cat>
          <c:val>
            <c:numRef>
              <c:f>'Tabela dinâmica'!$B$8:$B$17</c:f>
              <c:numCache/>
            </c:numRef>
          </c:val>
        </c:ser>
        <c:axId val="435675602"/>
        <c:axId val="928982083"/>
      </c:barChart>
      <c:catAx>
        <c:axId val="435675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982083"/>
      </c:catAx>
      <c:valAx>
        <c:axId val="928982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Entrada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675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Saída por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dinâmica'!$E$7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dinâmica'!$D$8:$D$17</c:f>
            </c:strRef>
          </c:cat>
          <c:val>
            <c:numRef>
              <c:f>'Tabela dinâmica'!$E$8:$E$17</c:f>
              <c:numCache/>
            </c:numRef>
          </c:val>
        </c:ser>
        <c:axId val="185887030"/>
        <c:axId val="1461170135"/>
      </c:barChart>
      <c:catAx>
        <c:axId val="185887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170135"/>
      </c:catAx>
      <c:valAx>
        <c:axId val="1461170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Saída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87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</xdr:rowOff>
    </xdr:from>
    <xdr:ext cx="2847975" cy="2190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</xdr:colOff>
      <xdr:row>4</xdr:row>
      <xdr:rowOff>19050</xdr:rowOff>
    </xdr:from>
    <xdr:ext cx="3590925" cy="2190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9525</xdr:rowOff>
    </xdr:from>
    <xdr:ext cx="3276600" cy="24003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466725</xdr:colOff>
      <xdr:row>16</xdr:row>
      <xdr:rowOff>9525</xdr:rowOff>
    </xdr:from>
    <xdr:ext cx="3162300" cy="2400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" sheet="Dados"/>
  </cacheSource>
  <cacheFields>
    <cacheField name="Código" numFmtId="0">
      <sharedItems>
        <s v="P001"/>
        <s v="P002"/>
        <s v="P003"/>
        <s v="P004"/>
        <s v="P005"/>
        <s v="P006"/>
        <s v="P007"/>
        <s v="P008"/>
        <s v="P009"/>
        <s v="P010"/>
      </sharedItems>
    </cacheField>
    <cacheField name="Produto" numFmtId="0">
      <sharedItems>
        <s v="Arroz"/>
        <s v="Feijão"/>
        <s v="Café"/>
        <s v="Açúcar"/>
        <s v="Óleo"/>
        <s v="Refrigerante"/>
        <s v="Água"/>
        <s v="Suco"/>
        <s v="Biscoito"/>
        <s v="Macarrão"/>
      </sharedItems>
    </cacheField>
    <cacheField name="Categoria" numFmtId="0">
      <sharedItems>
        <s v="Alimentos"/>
        <s v="Bebidas"/>
        <s v="Mercearia"/>
      </sharedItems>
    </cacheField>
    <cacheField name="Entrada" numFmtId="0">
      <sharedItems containsSemiMixedTypes="0" containsString="0" containsNumber="1" containsInteger="1">
        <n v="500.0"/>
        <n v="400.0"/>
        <n v="350.0"/>
        <n v="450.0"/>
        <n v="300.0"/>
        <n v="600.0"/>
        <n v="800.0"/>
        <n v="550.0"/>
      </sharedItems>
    </cacheField>
    <cacheField name="Saída" numFmtId="0">
      <sharedItems containsSemiMixedTypes="0" containsString="0" containsNumber="1" containsInteger="1">
        <n v="320.0"/>
        <n v="370.0"/>
        <n v="280.0"/>
        <n v="440.0"/>
        <n v="210.0"/>
        <n v="510.0"/>
        <n v="790.0"/>
        <n v="180.0"/>
        <n v="300.0"/>
        <n v="500.0"/>
      </sharedItems>
    </cacheField>
    <cacheField name="Estoque Mínimo" numFmtId="0">
      <sharedItems containsSemiMixedTypes="0" containsString="0" containsNumber="1" containsInteger="1">
        <n v="100.0"/>
        <n v="80.0"/>
        <n v="70.0"/>
        <n v="90.0"/>
        <n v="60.0"/>
        <n v="120.0"/>
        <n v="150.0"/>
      </sharedItems>
    </cacheField>
    <cacheField name="Saldo Atual" numFmtId="0">
      <sharedItems containsSemiMixedTypes="0" containsString="0" containsNumber="1" containsInteger="1">
        <n v="180.0"/>
        <n v="30.0"/>
        <n v="70.0"/>
        <n v="10.0"/>
        <n v="90.0"/>
        <n v="170.0"/>
        <n v="150.0"/>
        <n v="50.0"/>
      </sharedItems>
    </cacheField>
    <cacheField name="Situação" numFmtId="0">
      <sharedItems>
        <s v="Normal"/>
        <s v="Crític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B4" firstHeaderRow="0" firstDataRow="1" firstDataCol="0"/>
  <pivotFields>
    <pivotField name="Códig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Entrad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í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oque Míni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do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tuação" axis="axisRow" compact="0" outline="0" multipleItemSelectionAllowed="1" showAll="0" sortType="ascending">
      <items>
        <item x="1"/>
        <item x="0"/>
        <item t="default"/>
      </items>
    </pivotField>
  </pivotFields>
  <rowFields>
    <field x="7"/>
  </rowFields>
  <dataFields>
    <dataField name="COUNTA of Códig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D1:E5" firstHeaderRow="0" firstDataRow="1" firstDataCol="0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t="default"/>
      </items>
    </pivotField>
    <pivotField name="Entrad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í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oque Míni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do Atu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tuação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Saldo Atual" fld="6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A7:B18" firstHeaderRow="0" firstDataRow="1" firstDataCol="0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axis="axisRow" compact="0" outline="0" multipleItemSelectionAllowed="1" showAll="0" sortType="ascending">
      <items>
        <item x="3"/>
        <item x="6"/>
        <item x="0"/>
        <item x="8"/>
        <item x="2"/>
        <item x="1"/>
        <item x="9"/>
        <item x="4"/>
        <item x="5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Entra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í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oque Míni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do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tuação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Entrada" fld="3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D7:E18" firstHeaderRow="0" firstDataRow="1" firstDataCol="0"/>
  <pivotFields>
    <pivotField name="Có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axis="axisRow" compact="0" outline="0" multipleItemSelectionAllowed="1" showAll="0" sortType="ascending">
      <items>
        <item x="3"/>
        <item x="6"/>
        <item x="0"/>
        <item x="8"/>
        <item x="2"/>
        <item x="1"/>
        <item x="9"/>
        <item x="4"/>
        <item x="5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Entrad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í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oque Míni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do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tuação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Saída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500.0</v>
      </c>
      <c r="E2" s="2">
        <v>320.0</v>
      </c>
      <c r="F2" s="2">
        <v>100.0</v>
      </c>
      <c r="G2" s="2">
        <f t="shared" ref="G2:G11" si="1">D2:D11-E2:E11</f>
        <v>180</v>
      </c>
      <c r="H2" s="3" t="str">
        <f t="shared" ref="H2:H11" si="2">IF(G2&lt;=F2,"Crítico","Normal")</f>
        <v>Normal</v>
      </c>
    </row>
    <row r="3">
      <c r="A3" s="2" t="s">
        <v>11</v>
      </c>
      <c r="B3" s="2" t="s">
        <v>12</v>
      </c>
      <c r="C3" s="2" t="s">
        <v>10</v>
      </c>
      <c r="D3" s="2">
        <v>400.0</v>
      </c>
      <c r="E3" s="2">
        <v>370.0</v>
      </c>
      <c r="F3" s="2">
        <v>80.0</v>
      </c>
      <c r="G3" s="2">
        <f t="shared" si="1"/>
        <v>30</v>
      </c>
      <c r="H3" s="3" t="str">
        <f t="shared" si="2"/>
        <v>Crítico</v>
      </c>
    </row>
    <row r="4">
      <c r="A4" s="2" t="s">
        <v>13</v>
      </c>
      <c r="B4" s="2" t="s">
        <v>14</v>
      </c>
      <c r="C4" s="2" t="s">
        <v>10</v>
      </c>
      <c r="D4" s="2">
        <v>350.0</v>
      </c>
      <c r="E4" s="2">
        <v>280.0</v>
      </c>
      <c r="F4" s="2">
        <v>70.0</v>
      </c>
      <c r="G4" s="2">
        <f t="shared" si="1"/>
        <v>70</v>
      </c>
      <c r="H4" s="3" t="str">
        <f t="shared" si="2"/>
        <v>Crítico</v>
      </c>
    </row>
    <row r="5">
      <c r="A5" s="2" t="s">
        <v>15</v>
      </c>
      <c r="B5" s="2" t="s">
        <v>16</v>
      </c>
      <c r="C5" s="2" t="s">
        <v>10</v>
      </c>
      <c r="D5" s="2">
        <v>450.0</v>
      </c>
      <c r="E5" s="2">
        <v>440.0</v>
      </c>
      <c r="F5" s="2">
        <v>90.0</v>
      </c>
      <c r="G5" s="2">
        <f t="shared" si="1"/>
        <v>10</v>
      </c>
      <c r="H5" s="3" t="str">
        <f t="shared" si="2"/>
        <v>Crítico</v>
      </c>
    </row>
    <row r="6">
      <c r="A6" s="2" t="s">
        <v>17</v>
      </c>
      <c r="B6" s="2" t="s">
        <v>18</v>
      </c>
      <c r="C6" s="2" t="s">
        <v>10</v>
      </c>
      <c r="D6" s="2">
        <v>300.0</v>
      </c>
      <c r="E6" s="2">
        <v>210.0</v>
      </c>
      <c r="F6" s="2">
        <v>60.0</v>
      </c>
      <c r="G6" s="2">
        <f t="shared" si="1"/>
        <v>90</v>
      </c>
      <c r="H6" s="3" t="str">
        <f t="shared" si="2"/>
        <v>Normal</v>
      </c>
    </row>
    <row r="7">
      <c r="A7" s="2" t="s">
        <v>19</v>
      </c>
      <c r="B7" s="2" t="s">
        <v>20</v>
      </c>
      <c r="C7" s="2" t="s">
        <v>21</v>
      </c>
      <c r="D7" s="2">
        <v>600.0</v>
      </c>
      <c r="E7" s="2">
        <v>510.0</v>
      </c>
      <c r="F7" s="2">
        <v>120.0</v>
      </c>
      <c r="G7" s="2">
        <f t="shared" si="1"/>
        <v>90</v>
      </c>
      <c r="H7" s="3" t="str">
        <f t="shared" si="2"/>
        <v>Crítico</v>
      </c>
    </row>
    <row r="8">
      <c r="A8" s="2" t="s">
        <v>22</v>
      </c>
      <c r="B8" s="2" t="s">
        <v>23</v>
      </c>
      <c r="C8" s="2" t="s">
        <v>21</v>
      </c>
      <c r="D8" s="2">
        <v>800.0</v>
      </c>
      <c r="E8" s="2">
        <v>790.0</v>
      </c>
      <c r="F8" s="2">
        <v>150.0</v>
      </c>
      <c r="G8" s="2">
        <f t="shared" si="1"/>
        <v>10</v>
      </c>
      <c r="H8" s="3" t="str">
        <f t="shared" si="2"/>
        <v>Crítico</v>
      </c>
    </row>
    <row r="9">
      <c r="A9" s="2" t="s">
        <v>24</v>
      </c>
      <c r="B9" s="2" t="s">
        <v>25</v>
      </c>
      <c r="C9" s="2" t="s">
        <v>21</v>
      </c>
      <c r="D9" s="2">
        <v>350.0</v>
      </c>
      <c r="E9" s="2">
        <v>180.0</v>
      </c>
      <c r="F9" s="2">
        <v>80.0</v>
      </c>
      <c r="G9" s="2">
        <f t="shared" si="1"/>
        <v>170</v>
      </c>
      <c r="H9" s="3" t="str">
        <f t="shared" si="2"/>
        <v>Normal</v>
      </c>
    </row>
    <row r="10">
      <c r="A10" s="2" t="s">
        <v>26</v>
      </c>
      <c r="B10" s="2" t="s">
        <v>27</v>
      </c>
      <c r="C10" s="2" t="s">
        <v>28</v>
      </c>
      <c r="D10" s="2">
        <v>450.0</v>
      </c>
      <c r="E10" s="2">
        <v>300.0</v>
      </c>
      <c r="F10" s="2">
        <v>100.0</v>
      </c>
      <c r="G10" s="2">
        <f t="shared" si="1"/>
        <v>150</v>
      </c>
      <c r="H10" s="3" t="str">
        <f t="shared" si="2"/>
        <v>Normal</v>
      </c>
    </row>
    <row r="11">
      <c r="A11" s="2" t="s">
        <v>29</v>
      </c>
      <c r="B11" s="2" t="s">
        <v>30</v>
      </c>
      <c r="C11" s="2" t="s">
        <v>28</v>
      </c>
      <c r="D11" s="2">
        <v>550.0</v>
      </c>
      <c r="E11" s="2">
        <v>500.0</v>
      </c>
      <c r="F11" s="2">
        <v>120.0</v>
      </c>
      <c r="G11" s="2">
        <f t="shared" si="1"/>
        <v>50</v>
      </c>
      <c r="H11" s="3" t="str">
        <f t="shared" si="2"/>
        <v>Crítico</v>
      </c>
    </row>
    <row r="28">
      <c r="I28" s="4" t="s">
        <v>0</v>
      </c>
      <c r="J28" s="4" t="s">
        <v>1</v>
      </c>
      <c r="K28" s="4" t="s">
        <v>2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9.38"/>
    <col customWidth="1" min="3" max="3" width="15.25"/>
    <col customWidth="1" min="4" max="4" width="18.5"/>
    <col customWidth="1" min="5" max="5" width="14.5"/>
  </cols>
  <sheetData>
    <row r="1" ht="30.0" customHeight="1">
      <c r="A1" s="5" t="s">
        <v>31</v>
      </c>
      <c r="B1" s="6"/>
      <c r="C1" s="6"/>
      <c r="D1" s="6"/>
      <c r="E1" s="7"/>
      <c r="F1" s="8"/>
      <c r="G1" s="8"/>
      <c r="H1" s="8"/>
    </row>
    <row r="2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</row>
    <row r="3">
      <c r="A3" s="10">
        <f>COUNTA(Dados!A2:A11)</f>
        <v>10</v>
      </c>
      <c r="B3" s="11">
        <f>COUNTIF(Dados!H2:H11,"Crítico")</f>
        <v>6</v>
      </c>
      <c r="C3" s="12">
        <f>SUM(Dados!G2:G11)</f>
        <v>850</v>
      </c>
      <c r="D3" s="10">
        <f>SUM(Dados!D2:D11)</f>
        <v>4750</v>
      </c>
      <c r="E3" s="13">
        <f>SUM(Dados!E2:E11)</f>
        <v>3900</v>
      </c>
    </row>
    <row r="4">
      <c r="A4" s="14" t="s">
        <v>37</v>
      </c>
      <c r="C4" s="15"/>
      <c r="D4" s="14" t="s">
        <v>38</v>
      </c>
    </row>
    <row r="5">
      <c r="A5" s="15"/>
      <c r="B5" s="15"/>
      <c r="C5" s="15"/>
      <c r="D5" s="15"/>
      <c r="E5" s="15"/>
    </row>
    <row r="16">
      <c r="A16" s="14" t="s">
        <v>39</v>
      </c>
      <c r="D16" s="14" t="s">
        <v>40</v>
      </c>
    </row>
  </sheetData>
  <mergeCells count="5">
    <mergeCell ref="A1:E1"/>
    <mergeCell ref="A4:B4"/>
    <mergeCell ref="D4:E4"/>
    <mergeCell ref="A16:B16"/>
    <mergeCell ref="D16:E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5" max="5" width="17.88"/>
  </cols>
  <sheetData>
    <row r="1"/>
    <row r="2"/>
    <row r="3"/>
    <row r="4"/>
    <row r="5"/>
    <row r="7"/>
    <row r="8"/>
    <row r="9"/>
    <row r="10"/>
    <row r="11"/>
    <row r="12"/>
    <row r="13"/>
    <row r="14"/>
    <row r="15"/>
    <row r="16"/>
    <row r="17"/>
    <row r="18"/>
  </sheetData>
  <drawing r:id="rId5"/>
</worksheet>
</file>
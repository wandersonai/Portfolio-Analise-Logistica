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Dashboard" sheetId="2" r:id="rId6"/>
    <sheet state="visible" name="Tabela dinâmica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<sst xmlns="http://schemas.openxmlformats.org/spreadsheetml/2006/main" count="124" uniqueCount="28">
  <si>
    <t>NF</t>
  </si>
  <si>
    <t>Transportadora</t>
  </si>
  <si>
    <t>Cidade</t>
  </si>
  <si>
    <t>Valor Frete</t>
  </si>
  <si>
    <t>Status</t>
  </si>
  <si>
    <t>A</t>
  </si>
  <si>
    <t>São Luís</t>
  </si>
  <si>
    <t>Entregue</t>
  </si>
  <si>
    <t>B</t>
  </si>
  <si>
    <t>Imperatriz</t>
  </si>
  <si>
    <t>C</t>
  </si>
  <si>
    <t>Balsas</t>
  </si>
  <si>
    <t>Atrasada</t>
  </si>
  <si>
    <t>Timon</t>
  </si>
  <si>
    <t>Em trânsito</t>
  </si>
  <si>
    <t>Bacabal</t>
  </si>
  <si>
    <t xml:space="preserve">DASHBOARD LOGÍSTICO EXECUTIVO </t>
  </si>
  <si>
    <t>Total Entregas</t>
  </si>
  <si>
    <t>Entregues</t>
  </si>
  <si>
    <t>Atrasadas</t>
  </si>
  <si>
    <t>Em Trânsito</t>
  </si>
  <si>
    <t>Custo Total</t>
  </si>
  <si>
    <t>Status das Entregas</t>
  </si>
  <si>
    <t>Frete por Transportadora</t>
  </si>
  <si>
    <t>Entregas por Cidade</t>
  </si>
  <si>
    <t>COUNT de NF</t>
  </si>
  <si>
    <t>Total geral</t>
  </si>
  <si>
    <t>SUM de Valor Frete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</si>
</sst>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0.0"/>
      <color rgb="FF980000"/>
      <name val="Arial"/>
    </font>
    <font/>
    <font>
      <b/>
      <sz val="13.0"/>
      <color rgb="FF000000"/>
      <name val="Arial"/>
      <scheme val="minor"/>
    </font>
    <font>
      <b/>
      <sz val="24.0"/>
      <color rgb="FF000000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164" xfId="0" applyFont="1" applyNumberFormat="1"/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 readingOrder="0"/>
    </xf>
    <xf borderId="1" fillId="3" fontId="6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/>
    </xf>
    <xf borderId="1" fillId="6" fontId="6" numFmtId="0" xfId="0" applyAlignment="1" applyBorder="1" applyFill="1" applyFont="1">
      <alignment horizontal="center"/>
    </xf>
    <xf borderId="1" fillId="3" fontId="6" numFmtId="164" xfId="0" applyAlignment="1" applyBorder="1" applyFont="1" applyNumberFormat="1">
      <alignment horizontal="center"/>
    </xf>
    <xf borderId="2" fillId="7" fontId="7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'Tabela dinâmica'!$B$1:$B$4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'Tabela dinâmica'!$B$15</c:f>
            </c:strRef>
          </c:tx>
          <c:spPr>
            <a:solidFill>
              <a:srgbClr val="0000FF"/>
            </a:solidFill>
            <a:ln cmpd="sng">
              <a:solidFill>
                <a:schemeClr val="dk1"/>
              </a:solidFill>
            </a:ln>
          </c:spPr>
          <c:dPt>
            <c:idx val="3"/>
          </c:dPt>
          <c:cat>
            <c:strRef>
              <c:f>'Tabela dinâmica'!$A$16:$A$20</c:f>
            </c:strRef>
          </c:cat>
          <c:val>
            <c:numRef>
              <c:f>'Tabela dinâmica'!$B$16:$B$20</c:f>
              <c:numCache/>
            </c:numRef>
          </c:val>
        </c:ser>
        <c:axId val="941303131"/>
        <c:axId val="546905593"/>
      </c:barChart>
      <c:catAx>
        <c:axId val="9413031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905593"/>
      </c:catAx>
      <c:valAx>
        <c:axId val="5469055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413031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200025</xdr:rowOff>
    </xdr:from>
    <xdr:ext cx="4029075" cy="2000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28575</xdr:colOff>
      <xdr:row>3</xdr:row>
      <xdr:rowOff>200025</xdr:rowOff>
    </xdr:from>
    <xdr:ext cx="3943350" cy="2000250"/>
    <xdr:pic>
      <xdr:nvPicPr>
        <xdr:cNvPr id="533375573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</xdr:row>
      <xdr:rowOff>247650</xdr:rowOff>
    </xdr:from>
    <xdr:ext cx="8029575" cy="2000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1" sheet="Dados"/>
  </cacheSource>
  <cacheFields>
    <cacheField name="NF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</sharedItems>
    </cacheField>
    <cacheField name="Transportadora" numFmtId="0">
      <sharedItems>
        <s v="A"/>
        <s v="B"/>
        <s v="C"/>
      </sharedItems>
    </cacheField>
    <cacheField name="Cidade" numFmtId="0">
      <sharedItems>
        <s v="São Luís"/>
        <s v="Imperatriz"/>
        <s v="Balsas"/>
        <s v="Timon"/>
        <s v="Bacabal"/>
      </sharedItems>
    </cacheField>
    <cacheField name="Valor Frete" numFmtId="164">
      <sharedItems containsSemiMixedTypes="0" containsString="0" containsNumber="1" containsInteger="1">
        <n v="150.0"/>
        <n v="220.0"/>
        <n v="300.0"/>
        <n v="180.0"/>
        <n v="210.0"/>
        <n v="175.0"/>
        <n v="260.0"/>
        <n v="190.0"/>
        <n v="160.0"/>
        <n v="280.0"/>
        <n v="230.0"/>
        <n v="310.0"/>
        <n v="170.0"/>
        <n v="215.0"/>
        <n v="295.0"/>
        <n v="165.0"/>
        <n v="225.0"/>
        <n v="305.0"/>
        <n v="205.0"/>
        <n v="290.0"/>
        <n v="285.0"/>
        <n v="155.0"/>
      </sharedItems>
    </cacheField>
    <cacheField name="Status" numFmtId="0">
      <sharedItems>
        <s v="Entregue"/>
        <s v="Atrasada"/>
        <s v="Em trânsit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1:B5" firstHeaderRow="0" firstDataRow="1" firstDataCol="0"/>
  <pivotFields>
    <pivotField name="N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Fre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atus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4"/>
  </rowFields>
  <dataFields>
    <dataField name="COUNT of NF" fld="0" subtotal="countNums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A8:B12" firstHeaderRow="0" firstDataRow="1" firstDataCol="0"/>
  <pivotFields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portadora" axis="axisRow" compact="0" outline="0" multipleItemSelectionAllowed="1" showAll="0" sortType="ascending">
      <items>
        <item x="0"/>
        <item x="1"/>
        <item x="2"/>
        <item t="default"/>
      </items>
    </pivotField>
    <pivotField name="C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or Fre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Valor Frete" fld="3" baseField="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A15:B21" firstHeaderRow="0" firstDataRow="1" firstDataCol="0"/>
  <pivotFields>
    <pivotField name="N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ransportadora" compact="0" outline="0" multipleItemSelectionAllowed="1" showAll="0">
      <items>
        <item x="0"/>
        <item x="1"/>
        <item x="2"/>
        <item t="default"/>
      </items>
    </pivotField>
    <pivotField name="Cidade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Valor Fre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UNT of NF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1001.0</v>
      </c>
      <c r="B2" s="3" t="s">
        <v>5</v>
      </c>
      <c r="C2" s="3" t="s">
        <v>6</v>
      </c>
      <c r="D2" s="4">
        <v>150.0</v>
      </c>
      <c r="E2" s="3" t="s">
        <v>7</v>
      </c>
    </row>
    <row r="3">
      <c r="A3" s="3">
        <v>1002.0</v>
      </c>
      <c r="B3" s="3" t="s">
        <v>8</v>
      </c>
      <c r="C3" s="3" t="s">
        <v>9</v>
      </c>
      <c r="D3" s="4">
        <v>220.0</v>
      </c>
      <c r="E3" s="3" t="s">
        <v>7</v>
      </c>
    </row>
    <row r="4">
      <c r="A4" s="3">
        <v>1003.0</v>
      </c>
      <c r="B4" s="3" t="s">
        <v>10</v>
      </c>
      <c r="C4" s="3" t="s">
        <v>11</v>
      </c>
      <c r="D4" s="4">
        <v>300.0</v>
      </c>
      <c r="E4" s="3" t="s">
        <v>12</v>
      </c>
    </row>
    <row r="5">
      <c r="A5" s="3">
        <v>1004.0</v>
      </c>
      <c r="B5" s="3" t="s">
        <v>5</v>
      </c>
      <c r="C5" s="3" t="s">
        <v>6</v>
      </c>
      <c r="D5" s="4">
        <v>180.0</v>
      </c>
      <c r="E5" s="3" t="s">
        <v>7</v>
      </c>
    </row>
    <row r="6">
      <c r="A6" s="3">
        <v>1005.0</v>
      </c>
      <c r="B6" s="3" t="s">
        <v>8</v>
      </c>
      <c r="C6" s="3" t="s">
        <v>13</v>
      </c>
      <c r="D6" s="4">
        <v>210.0</v>
      </c>
      <c r="E6" s="3" t="s">
        <v>14</v>
      </c>
    </row>
    <row r="7">
      <c r="A7" s="3">
        <v>1006.0</v>
      </c>
      <c r="B7" s="3" t="s">
        <v>5</v>
      </c>
      <c r="C7" s="3" t="s">
        <v>15</v>
      </c>
      <c r="D7" s="4">
        <v>175.0</v>
      </c>
      <c r="E7" s="3" t="s">
        <v>7</v>
      </c>
    </row>
    <row r="8">
      <c r="A8" s="3">
        <v>1007.0</v>
      </c>
      <c r="B8" s="3" t="s">
        <v>10</v>
      </c>
      <c r="C8" s="3" t="s">
        <v>9</v>
      </c>
      <c r="D8" s="4">
        <v>260.0</v>
      </c>
      <c r="E8" s="3" t="s">
        <v>12</v>
      </c>
    </row>
    <row r="9">
      <c r="A9" s="3">
        <v>1008.0</v>
      </c>
      <c r="B9" s="3" t="s">
        <v>8</v>
      </c>
      <c r="C9" s="3" t="s">
        <v>6</v>
      </c>
      <c r="D9" s="4">
        <v>190.0</v>
      </c>
      <c r="E9" s="3" t="s">
        <v>7</v>
      </c>
    </row>
    <row r="10">
      <c r="A10" s="3">
        <v>1009.0</v>
      </c>
      <c r="B10" s="3" t="s">
        <v>5</v>
      </c>
      <c r="C10" s="3" t="s">
        <v>11</v>
      </c>
      <c r="D10" s="4">
        <v>160.0</v>
      </c>
      <c r="E10" s="3" t="s">
        <v>7</v>
      </c>
    </row>
    <row r="11">
      <c r="A11" s="3">
        <v>1010.0</v>
      </c>
      <c r="B11" s="3" t="s">
        <v>10</v>
      </c>
      <c r="C11" s="3" t="s">
        <v>13</v>
      </c>
      <c r="D11" s="4">
        <v>280.0</v>
      </c>
      <c r="E11" s="3" t="s">
        <v>14</v>
      </c>
    </row>
    <row r="12">
      <c r="A12" s="3">
        <v>1011.0</v>
      </c>
      <c r="B12" s="3" t="s">
        <v>5</v>
      </c>
      <c r="C12" s="3" t="s">
        <v>6</v>
      </c>
      <c r="D12" s="4">
        <v>150.0</v>
      </c>
      <c r="E12" s="3" t="s">
        <v>7</v>
      </c>
    </row>
    <row r="13">
      <c r="A13" s="3">
        <v>1012.0</v>
      </c>
      <c r="B13" s="3" t="s">
        <v>8</v>
      </c>
      <c r="C13" s="3" t="s">
        <v>9</v>
      </c>
      <c r="D13" s="4">
        <v>230.0</v>
      </c>
      <c r="E13" s="3" t="s">
        <v>7</v>
      </c>
    </row>
    <row r="14">
      <c r="A14" s="3">
        <v>1013.0</v>
      </c>
      <c r="B14" s="3" t="s">
        <v>10</v>
      </c>
      <c r="C14" s="3" t="s">
        <v>11</v>
      </c>
      <c r="D14" s="4">
        <v>310.0</v>
      </c>
      <c r="E14" s="3" t="s">
        <v>12</v>
      </c>
    </row>
    <row r="15">
      <c r="A15" s="3">
        <v>1014.0</v>
      </c>
      <c r="B15" s="3" t="s">
        <v>5</v>
      </c>
      <c r="C15" s="3" t="s">
        <v>15</v>
      </c>
      <c r="D15" s="4">
        <v>170.0</v>
      </c>
      <c r="E15" s="3" t="s">
        <v>7</v>
      </c>
    </row>
    <row r="16">
      <c r="A16" s="3">
        <v>1015.0</v>
      </c>
      <c r="B16" s="3" t="s">
        <v>8</v>
      </c>
      <c r="C16" s="3" t="s">
        <v>6</v>
      </c>
      <c r="D16" s="4">
        <v>215.0</v>
      </c>
      <c r="E16" s="3" t="s">
        <v>7</v>
      </c>
    </row>
    <row r="17">
      <c r="A17" s="3">
        <v>1016.0</v>
      </c>
      <c r="B17" s="3" t="s">
        <v>10</v>
      </c>
      <c r="C17" s="3" t="s">
        <v>9</v>
      </c>
      <c r="D17" s="4">
        <v>295.0</v>
      </c>
      <c r="E17" s="3" t="s">
        <v>14</v>
      </c>
    </row>
    <row r="18">
      <c r="A18" s="3">
        <v>1017.0</v>
      </c>
      <c r="B18" s="3" t="s">
        <v>5</v>
      </c>
      <c r="C18" s="3" t="s">
        <v>13</v>
      </c>
      <c r="D18" s="4">
        <v>165.0</v>
      </c>
      <c r="E18" s="3" t="s">
        <v>7</v>
      </c>
    </row>
    <row r="19">
      <c r="A19" s="3">
        <v>1018.0</v>
      </c>
      <c r="B19" s="3" t="s">
        <v>8</v>
      </c>
      <c r="C19" s="3" t="s">
        <v>11</v>
      </c>
      <c r="D19" s="4">
        <v>225.0</v>
      </c>
      <c r="E19" s="3" t="s">
        <v>7</v>
      </c>
    </row>
    <row r="20">
      <c r="A20" s="3">
        <v>1019.0</v>
      </c>
      <c r="B20" s="3" t="s">
        <v>10</v>
      </c>
      <c r="C20" s="3" t="s">
        <v>6</v>
      </c>
      <c r="D20" s="4">
        <v>305.0</v>
      </c>
      <c r="E20" s="3" t="s">
        <v>12</v>
      </c>
    </row>
    <row r="21">
      <c r="A21" s="3">
        <v>1020.0</v>
      </c>
      <c r="B21" s="3" t="s">
        <v>5</v>
      </c>
      <c r="C21" s="3" t="s">
        <v>9</v>
      </c>
      <c r="D21" s="4">
        <v>180.0</v>
      </c>
      <c r="E21" s="3" t="s">
        <v>7</v>
      </c>
    </row>
    <row r="22">
      <c r="A22" s="3">
        <v>1021.0</v>
      </c>
      <c r="B22" s="3" t="s">
        <v>8</v>
      </c>
      <c r="C22" s="3" t="s">
        <v>15</v>
      </c>
      <c r="D22" s="4">
        <v>205.0</v>
      </c>
      <c r="E22" s="3" t="s">
        <v>7</v>
      </c>
    </row>
    <row r="23">
      <c r="A23" s="3">
        <v>1022.0</v>
      </c>
      <c r="B23" s="3" t="s">
        <v>10</v>
      </c>
      <c r="C23" s="3" t="s">
        <v>6</v>
      </c>
      <c r="D23" s="4">
        <v>290.0</v>
      </c>
      <c r="E23" s="3" t="s">
        <v>7</v>
      </c>
    </row>
    <row r="24">
      <c r="A24" s="3">
        <v>1023.0</v>
      </c>
      <c r="B24" s="3" t="s">
        <v>5</v>
      </c>
      <c r="C24" s="3" t="s">
        <v>11</v>
      </c>
      <c r="D24" s="4">
        <v>170.0</v>
      </c>
      <c r="E24" s="3" t="s">
        <v>14</v>
      </c>
    </row>
    <row r="25">
      <c r="A25" s="3">
        <v>1024.0</v>
      </c>
      <c r="B25" s="3" t="s">
        <v>8</v>
      </c>
      <c r="C25" s="3" t="s">
        <v>9</v>
      </c>
      <c r="D25" s="4">
        <v>220.0</v>
      </c>
      <c r="E25" s="3" t="s">
        <v>7</v>
      </c>
    </row>
    <row r="26">
      <c r="A26" s="3">
        <v>1025.0</v>
      </c>
      <c r="B26" s="3" t="s">
        <v>10</v>
      </c>
      <c r="C26" s="3" t="s">
        <v>13</v>
      </c>
      <c r="D26" s="4">
        <v>285.0</v>
      </c>
      <c r="E26" s="3" t="s">
        <v>12</v>
      </c>
    </row>
    <row r="27">
      <c r="A27" s="3">
        <v>1026.0</v>
      </c>
      <c r="B27" s="3" t="s">
        <v>5</v>
      </c>
      <c r="C27" s="3" t="s">
        <v>6</v>
      </c>
      <c r="D27" s="4">
        <v>155.0</v>
      </c>
      <c r="E27" s="3" t="s">
        <v>7</v>
      </c>
    </row>
    <row r="28">
      <c r="A28" s="3">
        <v>1027.0</v>
      </c>
      <c r="B28" s="3" t="s">
        <v>8</v>
      </c>
      <c r="C28" s="3" t="s">
        <v>15</v>
      </c>
      <c r="D28" s="4">
        <v>210.0</v>
      </c>
      <c r="E28" s="3" t="s">
        <v>7</v>
      </c>
    </row>
    <row r="29">
      <c r="A29" s="3">
        <v>1028.0</v>
      </c>
      <c r="B29" s="3" t="s">
        <v>10</v>
      </c>
      <c r="C29" s="3" t="s">
        <v>11</v>
      </c>
      <c r="D29" s="4">
        <v>300.0</v>
      </c>
      <c r="E29" s="3" t="s">
        <v>7</v>
      </c>
    </row>
    <row r="30">
      <c r="A30" s="3">
        <v>1029.0</v>
      </c>
      <c r="B30" s="3" t="s">
        <v>5</v>
      </c>
      <c r="C30" s="3" t="s">
        <v>9</v>
      </c>
      <c r="D30" s="4">
        <v>175.0</v>
      </c>
      <c r="E30" s="3" t="s">
        <v>7</v>
      </c>
    </row>
    <row r="31">
      <c r="A31" s="3">
        <v>1030.0</v>
      </c>
      <c r="B31" s="3" t="s">
        <v>8</v>
      </c>
      <c r="C31" s="3" t="s">
        <v>6</v>
      </c>
      <c r="D31" s="4">
        <v>215.0</v>
      </c>
      <c r="E31" s="3" t="s">
        <v>14</v>
      </c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13"/>
    <col customWidth="1" min="3" max="3" width="13.25"/>
    <col customWidth="1" min="4" max="4" width="22.5"/>
    <col customWidth="1" min="5" max="5" width="30.0"/>
  </cols>
  <sheetData>
    <row r="1">
      <c r="A1" s="6" t="s">
        <v>16</v>
      </c>
      <c r="B1" s="7"/>
      <c r="C1" s="7"/>
      <c r="D1" s="7"/>
      <c r="E1" s="8"/>
    </row>
    <row r="2" ht="28.5" customHeight="1">
      <c r="A2" s="9" t="s">
        <v>17</v>
      </c>
      <c r="B2" s="9" t="s">
        <v>18</v>
      </c>
      <c r="C2" s="9" t="s">
        <v>19</v>
      </c>
      <c r="D2" s="9" t="s">
        <v>20</v>
      </c>
      <c r="E2" s="9" t="s">
        <v>21</v>
      </c>
    </row>
    <row r="3">
      <c r="A3" s="10">
        <f>COUNTA(Dados!A2:A31)</f>
        <v>30</v>
      </c>
      <c r="B3" s="11">
        <f>COUNTIF(Dados!E2:E31,"Entregue")</f>
        <v>20</v>
      </c>
      <c r="C3" s="12">
        <f>COUNTIF(Dados!E2:E31,"Atrasada")</f>
        <v>5</v>
      </c>
      <c r="D3" s="13">
        <f>COUNTIF(Dados!E2:E31,"Em trânsito")</f>
        <v>5</v>
      </c>
      <c r="E3" s="14">
        <f>SUM(Dados!D2:D31)</f>
        <v>6595</v>
      </c>
    </row>
    <row r="4">
      <c r="A4" s="15" t="s">
        <v>22</v>
      </c>
      <c r="B4" s="7"/>
      <c r="C4" s="8"/>
      <c r="D4" s="15" t="s">
        <v>23</v>
      </c>
      <c r="E4" s="8"/>
    </row>
    <row r="13" ht="14.25" customHeight="1"/>
    <row r="15">
      <c r="A15" s="16" t="s">
        <v>24</v>
      </c>
      <c r="B15" s="7"/>
      <c r="C15" s="7"/>
      <c r="D15" s="7"/>
      <c r="E15" s="8"/>
    </row>
  </sheetData>
  <mergeCells count="4">
    <mergeCell ref="A1:E1"/>
    <mergeCell ref="A4:C4"/>
    <mergeCell ref="D4:E4"/>
    <mergeCell ref="A15:E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  <col customWidth="1" min="2" max="2" width="17.38"/>
  </cols>
  <sheetData>
    <row r="1"/>
    <row r="2"/>
    <row r="3"/>
    <row r="4"/>
    <row r="5"/>
    <row r="8"/>
    <row r="9"/>
    <row r="10"/>
    <row r="11"/>
    <row r="12"/>
    <row r="15"/>
    <row r="16"/>
    <row r="17"/>
    <row r="18"/>
    <row r="19"/>
    <row r="20"/>
    <row r="21"/>
  </sheetData>
  <drawing r:id="rId4"/>
</worksheet>
</file>
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Tabela dinâmica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<sst xmlns="http://schemas.openxmlformats.org/spreadsheetml/2006/main" count="81" uniqueCount="27">
  <si>
    <t>Pedido</t>
  </si>
  <si>
    <t>Cidade</t>
  </si>
  <si>
    <t>Transportadora</t>
  </si>
  <si>
    <t>Data_Prometida</t>
  </si>
  <si>
    <t>Data_Entrega</t>
  </si>
  <si>
    <t>Status</t>
  </si>
  <si>
    <t>Dias de Atraso</t>
  </si>
  <si>
    <t>OTIF</t>
  </si>
  <si>
    <t>Imperatriz</t>
  </si>
  <si>
    <t>A</t>
  </si>
  <si>
    <t>Entregue</t>
  </si>
  <si>
    <t>Açailândia</t>
  </si>
  <si>
    <t>B</t>
  </si>
  <si>
    <t>Atrasada</t>
  </si>
  <si>
    <t>Balsas</t>
  </si>
  <si>
    <t>C</t>
  </si>
  <si>
    <t>Timon</t>
  </si>
  <si>
    <t>São Luís</t>
  </si>
  <si>
    <t>Caxias</t>
  </si>
  <si>
    <t>COUNTA de Pedido</t>
  </si>
  <si>
    <t>SUM de Dias de Atraso</t>
  </si>
  <si>
    <t>Total geral</t>
  </si>
  <si>
    <t>DASHBOARD PERFORMANCE DE ENTREGAS</t>
  </si>
  <si>
    <t>Total de Pedidos</t>
  </si>
  <si>
    <t>Entregas no Prazo</t>
  </si>
  <si>
    <t>Entregas Atrasadas</t>
  </si>
  <si>
    <t>OTIF%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</si>
</sst>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/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165" xfId="0" applyFont="1" applyNumberFormat="1"/>
    <xf borderId="2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6" fontId="3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dos Atrasos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'Tabela dinâmica'!$K$1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'Tabela dinâmica'!$J$2:$J$14</c:f>
            </c:strRef>
          </c:cat>
          <c:val>
            <c:numRef>
              <c:f>'Tabela dinâmica'!$K$2:$K$14</c:f>
              <c:numCache/>
            </c:numRef>
          </c:val>
          <c:smooth val="0"/>
        </c:ser>
        <c:axId val="1303080002"/>
        <c:axId val="1402906755"/>
      </c:lineChart>
      <c:catAx>
        <c:axId val="130308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 Entrega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906755"/>
      </c:catAx>
      <c:valAx>
        <c:axId val="140290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de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080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das Entregas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dinâmica'!$B$1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dinâmica'!$A$2:$A$3</c:f>
            </c:strRef>
          </c:cat>
          <c:val>
            <c:numRef>
              <c:f>'Tabela dinâmica'!$B$2:$B$3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Pedidos por Cidade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'Tabela dinâmica'!$E$1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dinâmica'!$D$2:$D$7</c:f>
            </c:strRef>
          </c:cat>
          <c:val>
            <c:numRef>
              <c:f>'Tabela dinâmica'!$E$2:$E$7</c:f>
              <c:numCache/>
            </c:numRef>
          </c:val>
        </c:ser>
        <c:axId val="1847693335"/>
        <c:axId val="217199240"/>
      </c:barChart>
      <c:catAx>
        <c:axId val="18476933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199240"/>
      </c:catAx>
      <c:valAx>
        <c:axId val="2171992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Pedido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6933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Pedidos por Transportadora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dinâmica'!$G$2:$G$4</c:f>
            </c:strRef>
          </c:cat>
          <c:val>
            <c:numRef>
              <c:f>'Tabela dinâmica'!$H$2:$H$4</c:f>
              <c:numCache/>
            </c:numRef>
          </c:val>
        </c:ser>
        <c:axId val="960749377"/>
        <c:axId val="1720994899"/>
      </c:barChart>
      <c:catAx>
        <c:axId val="960749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Transportadora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994899"/>
      </c:catAx>
      <c:valAx>
        <c:axId val="1720994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Pedidos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749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Tendência de Atrasos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'Tabela dinâmica'!$K$1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'Tabela dinâmica'!$J$2:$J$14</c:f>
            </c:strRef>
          </c:cat>
          <c:val>
            <c:numRef>
              <c:f>'Tabela dinâmica'!$K$2:$K$14</c:f>
              <c:numCache/>
            </c:numRef>
          </c:val>
          <c:smooth val="0"/>
        </c:ser>
        <c:axId val="190659754"/>
        <c:axId val="1221868130"/>
      </c:lineChart>
      <c:catAx>
        <c:axId val="190659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 Entrega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868130"/>
      </c:catAx>
      <c:valAx>
        <c:axId val="1221868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de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59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4</xdr:row>
      <xdr:rowOff>9525</xdr:rowOff>
    </xdr:from>
    <xdr:ext cx="4838700" cy="2305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342900</xdr:rowOff>
    </xdr:from>
    <xdr:ext cx="3114675" cy="19431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1514475</xdr:colOff>
      <xdr:row>2</xdr:row>
      <xdr:rowOff>342900</xdr:rowOff>
    </xdr:from>
    <xdr:ext cx="3743325" cy="22669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133350</xdr:rowOff>
    </xdr:from>
    <xdr:ext cx="3114675" cy="21621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1514475</xdr:colOff>
      <xdr:row>14</xdr:row>
      <xdr:rowOff>57150</xdr:rowOff>
    </xdr:from>
    <xdr:ext cx="3743325" cy="18383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" sheet="Dados"/>
  </cacheSource>
  <cacheFields>
    <cacheField name="Pedido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Cidade" numFmtId="0">
      <sharedItems>
        <s v="Imperatriz"/>
        <s v="Açailândia"/>
        <s v="Balsas"/>
        <s v="Timon"/>
        <s v="São Luís"/>
        <s v="Caxias"/>
      </sharedItems>
    </cacheField>
    <cacheField name="Transportadora" numFmtId="0">
      <sharedItems>
        <s v="A"/>
        <s v="B"/>
        <s v="C"/>
      </sharedItems>
    </cacheField>
    <cacheField name="Data_Prometida" numFmtId="164">
      <sharedItems containsSemiMixedTypes="0" containsDate="1" containsString="0">
        <d v="2026-07-05T00:00:00Z"/>
        <d v="2026-07-06T00:00:00Z"/>
        <d v="2026-07-04T00:00:00Z"/>
        <d v="2026-07-08T00:00:00Z"/>
        <d v="2026-07-10T00:00:00Z"/>
        <d v="2026-07-11T00:00:00Z"/>
        <d v="2026-07-12T00:00:00Z"/>
        <d v="2026-07-15T00:00:00Z"/>
        <d v="2026-07-16T00:00:00Z"/>
        <d v="2026-07-20T00:00:00Z"/>
        <d v="2026-07-21T00:00:00Z"/>
        <d v="2026-07-22T00:00:00Z"/>
        <d v="2026-07-25T00:00:00Z"/>
        <d v="2026-07-26T00:00:00Z"/>
        <d v="2026-07-28T00:00:00Z"/>
      </sharedItems>
    </cacheField>
    <cacheField name="Data_Entrega" numFmtId="164">
      <sharedItems containsSemiMixedTypes="0" containsDate="1" containsString="0">
        <d v="2026-07-04T00:00:00Z"/>
        <d v="2026-07-08T00:00:00Z"/>
        <d v="2026-07-09T00:00:00Z"/>
        <d v="2026-07-13T00:00:00Z"/>
        <d v="2026-07-12T00:00:00Z"/>
        <d v="2026-07-14T00:00:00Z"/>
        <d v="2026-07-18T00:00:00Z"/>
        <d v="2026-07-19T00:00:00Z"/>
        <d v="2026-07-21T00:00:00Z"/>
        <d v="2026-07-24T00:00:00Z"/>
        <d v="2026-07-25T00:00:00Z"/>
        <d v="2026-07-27T00:00:00Z"/>
        <d v="2026-07-28T00:00:00Z"/>
      </sharedItems>
    </cacheField>
    <cacheField name="Status" numFmtId="0">
      <sharedItems>
        <s v="Entregue"/>
        <s v="Atrasada"/>
      </sharedItems>
    </cacheField>
    <cacheField name="Dias de Atraso" numFmtId="0">
      <sharedItems containsSemiMixedTypes="0" containsString="0" containsNumber="1" containsInteger="1">
        <n v="-1.0"/>
        <n v="2.0"/>
        <n v="0.0"/>
        <n v="1.0"/>
      </sharedItems>
    </cacheField>
    <cacheField name="OTIF" numFmtId="0">
      <sharedItems>
        <s v="Sim"/>
        <s v="Nã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B4" firstHeaderRow="0" firstDataRow="1" firstDataCol="0"/>
  <pivotFields>
    <pivotField name="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Dat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axis="axisRow" compact="0" outline="0" multipleItemSelectionAllowed="1" showAll="0" sortType="ascending">
      <items>
        <item x="1"/>
        <item x="0"/>
        <item t="default"/>
      </items>
    </pivotField>
    <pivotField name="Dias de Atraso" compact="0" outline="0" multipleItemSelectionAllowed="1" showAll="0">
      <items>
        <item x="0"/>
        <item x="1"/>
        <item x="2"/>
        <item x="3"/>
        <item t="default"/>
      </items>
    </pivotField>
    <pivotField name="OTIF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COUNTA of Pedid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D1:E8" firstHeaderRow="0" firstDataRow="1" firstDataCol="0"/>
  <pivotFields>
    <pivotField name="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dade" axis="axisRow" compact="0" outline="0" multipleItemSelectionAllowed="1" showAll="0" sortType="ascending">
      <items>
        <item x="1"/>
        <item x="2"/>
        <item x="5"/>
        <item x="0"/>
        <item x="4"/>
        <item x="3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Dat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Dias de Atraso" compact="0" outline="0" multipleItemSelectionAllowed="1" showAll="0">
      <items>
        <item x="0"/>
        <item x="1"/>
        <item x="2"/>
        <item x="3"/>
        <item t="default"/>
      </items>
    </pivotField>
    <pivotField name="OTIF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A of Pedido" fld="0" subtotal="count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G1:H5" firstHeaderRow="0" firstDataRow="1" firstDataCol="0"/>
  <pivotFields>
    <pivotField name="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Dat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_Entre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Dias de Atraso" compact="0" outline="0" multipleItemSelectionAllowed="1" showAll="0">
      <items>
        <item x="0"/>
        <item x="1"/>
        <item x="2"/>
        <item x="3"/>
        <item t="default"/>
      </items>
    </pivotField>
    <pivotField name="OTIF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Pedido" fld="0" subtotal="count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J1:K15" firstHeaderRow="0" firstDataRow="1" firstDataCol="0"/>
  <pivotFields>
    <pivotField name="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Dat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_Entrega" axis="axisRow" compact="0" numFmtId="164" outline="0" multipleItemSelectionAllowed="1" showAll="0" sortType="ascending">
      <items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Dias de Atraso" dataField="1" compact="0" outline="0" multipleItemSelectionAllowed="1" showAll="0">
      <items>
        <item x="0"/>
        <item x="1"/>
        <item x="2"/>
        <item x="3"/>
        <item t="default"/>
      </items>
    </pivotField>
    <pivotField name="OTIF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Dias de Atraso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2" t="s">
        <v>8</v>
      </c>
      <c r="C2" s="2" t="s">
        <v>9</v>
      </c>
      <c r="D2" s="3">
        <v>46208.0</v>
      </c>
      <c r="E2" s="3">
        <v>46207.0</v>
      </c>
      <c r="F2" s="2" t="s">
        <v>10</v>
      </c>
      <c r="G2" s="4">
        <f t="shared" ref="G2:G16" si="1">E2-D2</f>
        <v>-1</v>
      </c>
      <c r="H2" s="4" t="str">
        <f t="shared" ref="H2:H16" si="2">IF(E2&lt;=D2,"Sim","Não")</f>
        <v>Sim</v>
      </c>
    </row>
    <row r="3">
      <c r="A3" s="2">
        <v>1002.0</v>
      </c>
      <c r="B3" s="2" t="s">
        <v>11</v>
      </c>
      <c r="C3" s="2" t="s">
        <v>12</v>
      </c>
      <c r="D3" s="3">
        <v>46209.0</v>
      </c>
      <c r="E3" s="3">
        <v>46211.0</v>
      </c>
      <c r="F3" s="2" t="s">
        <v>13</v>
      </c>
      <c r="G3" s="4">
        <f t="shared" si="1"/>
        <v>2</v>
      </c>
      <c r="H3" s="4" t="str">
        <f t="shared" si="2"/>
        <v>Não</v>
      </c>
    </row>
    <row r="4">
      <c r="A4" s="2">
        <v>1003.0</v>
      </c>
      <c r="B4" s="2" t="s">
        <v>14</v>
      </c>
      <c r="C4" s="2" t="s">
        <v>15</v>
      </c>
      <c r="D4" s="3">
        <v>46207.0</v>
      </c>
      <c r="E4" s="3">
        <v>46207.0</v>
      </c>
      <c r="F4" s="2" t="s">
        <v>10</v>
      </c>
      <c r="G4" s="4">
        <f t="shared" si="1"/>
        <v>0</v>
      </c>
      <c r="H4" s="4" t="str">
        <f t="shared" si="2"/>
        <v>Sim</v>
      </c>
    </row>
    <row r="5">
      <c r="A5" s="2">
        <v>1004.0</v>
      </c>
      <c r="B5" s="2" t="s">
        <v>16</v>
      </c>
      <c r="C5" s="2" t="s">
        <v>9</v>
      </c>
      <c r="D5" s="3">
        <v>46211.0</v>
      </c>
      <c r="E5" s="3">
        <v>46212.0</v>
      </c>
      <c r="F5" s="2" t="s">
        <v>13</v>
      </c>
      <c r="G5" s="4">
        <f t="shared" si="1"/>
        <v>1</v>
      </c>
      <c r="H5" s="4" t="str">
        <f t="shared" si="2"/>
        <v>Não</v>
      </c>
    </row>
    <row r="6">
      <c r="A6" s="2">
        <v>1005.0</v>
      </c>
      <c r="B6" s="2" t="s">
        <v>17</v>
      </c>
      <c r="C6" s="2" t="s">
        <v>12</v>
      </c>
      <c r="D6" s="3">
        <v>46213.0</v>
      </c>
      <c r="E6" s="3">
        <v>46212.0</v>
      </c>
      <c r="F6" s="2" t="s">
        <v>10</v>
      </c>
      <c r="G6" s="4">
        <f t="shared" si="1"/>
        <v>-1</v>
      </c>
      <c r="H6" s="4" t="str">
        <f t="shared" si="2"/>
        <v>Sim</v>
      </c>
    </row>
    <row r="7">
      <c r="A7" s="2">
        <v>1006.0</v>
      </c>
      <c r="B7" s="2" t="s">
        <v>18</v>
      </c>
      <c r="C7" s="2" t="s">
        <v>15</v>
      </c>
      <c r="D7" s="3">
        <v>46214.0</v>
      </c>
      <c r="E7" s="3">
        <v>46216.0</v>
      </c>
      <c r="F7" s="2" t="s">
        <v>13</v>
      </c>
      <c r="G7" s="4">
        <f t="shared" si="1"/>
        <v>2</v>
      </c>
      <c r="H7" s="4" t="str">
        <f t="shared" si="2"/>
        <v>Não</v>
      </c>
    </row>
    <row r="8">
      <c r="A8" s="2">
        <v>1007.0</v>
      </c>
      <c r="B8" s="2" t="s">
        <v>8</v>
      </c>
      <c r="C8" s="2" t="s">
        <v>9</v>
      </c>
      <c r="D8" s="3">
        <v>46215.0</v>
      </c>
      <c r="E8" s="3">
        <v>46215.0</v>
      </c>
      <c r="F8" s="2" t="s">
        <v>10</v>
      </c>
      <c r="G8" s="4">
        <f t="shared" si="1"/>
        <v>0</v>
      </c>
      <c r="H8" s="4" t="str">
        <f t="shared" si="2"/>
        <v>Sim</v>
      </c>
    </row>
    <row r="9">
      <c r="A9" s="2">
        <v>1008.0</v>
      </c>
      <c r="B9" s="2" t="s">
        <v>11</v>
      </c>
      <c r="C9" s="2" t="s">
        <v>12</v>
      </c>
      <c r="D9" s="3">
        <v>46218.0</v>
      </c>
      <c r="E9" s="3">
        <v>46217.0</v>
      </c>
      <c r="F9" s="2" t="s">
        <v>10</v>
      </c>
      <c r="G9" s="4">
        <f t="shared" si="1"/>
        <v>-1</v>
      </c>
      <c r="H9" s="4" t="str">
        <f t="shared" si="2"/>
        <v>Sim</v>
      </c>
    </row>
    <row r="10">
      <c r="A10" s="2">
        <v>1009.0</v>
      </c>
      <c r="B10" s="2" t="s">
        <v>17</v>
      </c>
      <c r="C10" s="2" t="s">
        <v>15</v>
      </c>
      <c r="D10" s="3">
        <v>46219.0</v>
      </c>
      <c r="E10" s="3">
        <v>46221.0</v>
      </c>
      <c r="F10" s="2" t="s">
        <v>13</v>
      </c>
      <c r="G10" s="4">
        <f t="shared" si="1"/>
        <v>2</v>
      </c>
      <c r="H10" s="4" t="str">
        <f t="shared" si="2"/>
        <v>Não</v>
      </c>
    </row>
    <row r="11">
      <c r="A11" s="2">
        <v>1010.0</v>
      </c>
      <c r="B11" s="2" t="s">
        <v>14</v>
      </c>
      <c r="C11" s="2" t="s">
        <v>9</v>
      </c>
      <c r="D11" s="3">
        <v>46223.0</v>
      </c>
      <c r="E11" s="3">
        <v>46222.0</v>
      </c>
      <c r="F11" s="2" t="s">
        <v>10</v>
      </c>
      <c r="G11" s="4">
        <f t="shared" si="1"/>
        <v>-1</v>
      </c>
      <c r="H11" s="4" t="str">
        <f t="shared" si="2"/>
        <v>Sim</v>
      </c>
    </row>
    <row r="12">
      <c r="A12" s="2">
        <v>1011.0</v>
      </c>
      <c r="B12" s="2" t="s">
        <v>16</v>
      </c>
      <c r="C12" s="2" t="s">
        <v>12</v>
      </c>
      <c r="D12" s="3">
        <v>46224.0</v>
      </c>
      <c r="E12" s="3">
        <v>46224.0</v>
      </c>
      <c r="F12" s="2" t="s">
        <v>10</v>
      </c>
      <c r="G12" s="4">
        <f t="shared" si="1"/>
        <v>0</v>
      </c>
      <c r="H12" s="4" t="str">
        <f t="shared" si="2"/>
        <v>Sim</v>
      </c>
    </row>
    <row r="13">
      <c r="A13" s="2">
        <v>1012.0</v>
      </c>
      <c r="B13" s="2" t="s">
        <v>18</v>
      </c>
      <c r="C13" s="2" t="s">
        <v>15</v>
      </c>
      <c r="D13" s="3">
        <v>46225.0</v>
      </c>
      <c r="E13" s="3">
        <v>46227.0</v>
      </c>
      <c r="F13" s="2" t="s">
        <v>13</v>
      </c>
      <c r="G13" s="4">
        <f t="shared" si="1"/>
        <v>2</v>
      </c>
      <c r="H13" s="4" t="str">
        <f t="shared" si="2"/>
        <v>Não</v>
      </c>
    </row>
    <row r="14">
      <c r="A14" s="2">
        <v>1013.0</v>
      </c>
      <c r="B14" s="2" t="s">
        <v>8</v>
      </c>
      <c r="C14" s="2" t="s">
        <v>9</v>
      </c>
      <c r="D14" s="3">
        <v>46228.0</v>
      </c>
      <c r="E14" s="3">
        <v>46228.0</v>
      </c>
      <c r="F14" s="2" t="s">
        <v>10</v>
      </c>
      <c r="G14" s="4">
        <f t="shared" si="1"/>
        <v>0</v>
      </c>
      <c r="H14" s="4" t="str">
        <f t="shared" si="2"/>
        <v>Sim</v>
      </c>
    </row>
    <row r="15">
      <c r="A15" s="2">
        <v>1014.0</v>
      </c>
      <c r="B15" s="2" t="s">
        <v>17</v>
      </c>
      <c r="C15" s="2" t="s">
        <v>12</v>
      </c>
      <c r="D15" s="3">
        <v>46229.0</v>
      </c>
      <c r="E15" s="3">
        <v>46230.0</v>
      </c>
      <c r="F15" s="2" t="s">
        <v>13</v>
      </c>
      <c r="G15" s="4">
        <f t="shared" si="1"/>
        <v>1</v>
      </c>
      <c r="H15" s="4" t="str">
        <f t="shared" si="2"/>
        <v>Não</v>
      </c>
    </row>
    <row r="16">
      <c r="A16" s="2">
        <v>1015.0</v>
      </c>
      <c r="B16" s="2" t="s">
        <v>11</v>
      </c>
      <c r="C16" s="2" t="s">
        <v>15</v>
      </c>
      <c r="D16" s="3">
        <v>46231.0</v>
      </c>
      <c r="E16" s="3">
        <v>46231.0</v>
      </c>
      <c r="F16" s="2" t="s">
        <v>10</v>
      </c>
      <c r="G16" s="4">
        <f t="shared" si="1"/>
        <v>0</v>
      </c>
      <c r="H16" s="4" t="str">
        <f t="shared" si="2"/>
        <v>Sim</v>
      </c>
    </row>
    <row r="17">
      <c r="G17" s="5"/>
    </row>
    <row r="18">
      <c r="G18" s="5"/>
    </row>
    <row r="19">
      <c r="G1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16.0"/>
    <col customWidth="1" min="3" max="3" width="4.5"/>
    <col customWidth="1" min="4" max="4" width="11.13"/>
    <col customWidth="1" min="6" max="6" width="3.75"/>
    <col customWidth="1" min="8" max="8" width="16.5"/>
    <col customWidth="1" min="9" max="9" width="3.88"/>
    <col customWidth="1" min="11" max="11" width="1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J16" s="7"/>
    </row>
    <row r="17">
      <c r="J17" s="7"/>
    </row>
    <row r="18">
      <c r="J18" s="7"/>
    </row>
    <row r="19">
      <c r="J19" s="7"/>
    </row>
    <row r="20">
      <c r="J20" s="7"/>
    </row>
    <row r="21">
      <c r="J21" s="7"/>
    </row>
    <row r="22">
      <c r="J22" s="7"/>
    </row>
    <row r="23">
      <c r="J23" s="7"/>
    </row>
    <row r="24">
      <c r="J24" s="7"/>
    </row>
    <row r="25">
      <c r="J25" s="7"/>
    </row>
    <row r="26">
      <c r="J26" s="7"/>
    </row>
    <row r="27">
      <c r="J27" s="7"/>
    </row>
    <row r="28">
      <c r="J28" s="7"/>
    </row>
    <row r="29">
      <c r="J29" s="7"/>
    </row>
    <row r="30">
      <c r="J30" s="7"/>
    </row>
    <row r="31">
      <c r="J31" s="7"/>
    </row>
    <row r="32">
      <c r="J32" s="7"/>
    </row>
    <row r="33">
      <c r="J33" s="7"/>
    </row>
    <row r="34">
      <c r="J34" s="7"/>
    </row>
    <row r="35">
      <c r="J35" s="7"/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2.63"/>
    <col customWidth="1" min="3" max="3" width="23.25"/>
    <col customWidth="1" min="4" max="4" width="23.5"/>
  </cols>
  <sheetData>
    <row r="1">
      <c r="A1" s="8" t="s">
        <v>22</v>
      </c>
      <c r="B1" s="9"/>
      <c r="C1" s="9"/>
      <c r="D1" s="10"/>
    </row>
    <row r="2">
      <c r="A2" s="11" t="s">
        <v>23</v>
      </c>
      <c r="B2" s="12" t="s">
        <v>24</v>
      </c>
      <c r="C2" s="13" t="s">
        <v>25</v>
      </c>
      <c r="D2" s="14" t="s">
        <v>26</v>
      </c>
    </row>
    <row r="3">
      <c r="A3" s="15">
        <f>COUNTA(Dados!A2:A16)</f>
        <v>15</v>
      </c>
      <c r="B3" s="16">
        <f>COUNTIF(Dados!H:H,"Sim")</f>
        <v>9</v>
      </c>
      <c r="C3" s="17">
        <f>COUNTIF(Dados!H:H,"Não")</f>
        <v>6</v>
      </c>
      <c r="D3" s="18">
        <f>COUNTIF(Dados!H:H,"Sim")/COUNTA(Dados!A2:A16)</f>
        <v>0.6</v>
      </c>
    </row>
  </sheetData>
  <mergeCells count="1">
    <mergeCell ref="A1:D1"/>
  </mergeCells>
  <drawing r:id="rId1"/>
</worksheet>
</file>
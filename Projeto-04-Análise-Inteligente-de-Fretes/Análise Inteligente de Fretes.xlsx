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" sheetId="1" r:id="rId5"/>
    <sheet state="visible" name="Dashboard" sheetId="2" r:id="rId6"/>
    <sheet state="visible" name="Tabela dinâmica" sheetId="3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<sst xmlns="http://schemas.openxmlformats.org/spreadsheetml/2006/main" count="67" uniqueCount="25">
  <si>
    <t>NF</t>
  </si>
  <si>
    <t>Data</t>
  </si>
  <si>
    <t>Cidade</t>
  </si>
  <si>
    <t>Transportadora</t>
  </si>
  <si>
    <t>Peso (kg)</t>
  </si>
  <si>
    <t>Distância (km)</t>
  </si>
  <si>
    <t>Valor Frete</t>
  </si>
  <si>
    <t>Prazo</t>
  </si>
  <si>
    <t>Imperatriz</t>
  </si>
  <si>
    <t>A</t>
  </si>
  <si>
    <t>Balsas</t>
  </si>
  <si>
    <t>B</t>
  </si>
  <si>
    <t>São Luís</t>
  </si>
  <si>
    <t>Bacabal</t>
  </si>
  <si>
    <t>C</t>
  </si>
  <si>
    <t>Timon</t>
  </si>
  <si>
    <t>Análise Inteligente de Fretes</t>
  </si>
  <si>
    <t>Total de Fretes</t>
  </si>
  <si>
    <t>Custo Total</t>
  </si>
  <si>
    <t>Frete Médio</t>
  </si>
  <si>
    <t>Maior Frete</t>
  </si>
  <si>
    <t>Menor Frete</t>
  </si>
  <si>
    <t>SUM de Valor Frete</t>
  </si>
  <si>
    <t>COUNT de NF</t>
  </si>
  <si>
    <t>Total geral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</si>
</sst>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[$R$ -416]#,##0.00"/>
  </numFmts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20.0"/>
      <color rgb="FFFFFFFF"/>
      <name val="Arial"/>
      <scheme val="minor"/>
    </font>
    <font/>
    <font>
      <b/>
      <sz val="19.0"/>
      <color theme="1"/>
      <name val="Arial"/>
      <scheme val="minor"/>
    </font>
    <font>
      <b/>
      <sz val="11.0"/>
      <color rgb="FF000000"/>
      <name val="Arial"/>
      <scheme val="minor"/>
    </font>
    <font>
      <b/>
      <sz val="11.0"/>
      <color theme="1"/>
      <name val="Arial"/>
      <scheme val="minor"/>
    </font>
    <font>
      <b/>
      <sz val="10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0000FF"/>
        <bgColor rgb="FF0000FF"/>
      </patternFill>
    </fill>
    <fill>
      <patternFill patternType="solid">
        <fgColor rgb="FF93C47D"/>
        <bgColor rgb="FF93C47D"/>
      </patternFill>
    </fill>
    <fill>
      <patternFill patternType="solid">
        <fgColor rgb="FFA4C2F4"/>
        <bgColor rgb="FFA4C2F4"/>
      </patternFill>
    </fill>
    <fill>
      <patternFill patternType="solid">
        <fgColor rgb="FFF6B26B"/>
        <bgColor rgb="FFF6B26B"/>
      </patternFill>
    </fill>
    <fill>
      <patternFill patternType="solid">
        <fgColor rgb="FFDD7E6B"/>
        <bgColor rgb="FFDD7E6B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2" fillId="2" fontId="3" numFmtId="0" xfId="0" applyAlignment="1" applyBorder="1" applyFill="1" applyFont="1">
      <alignment horizontal="center" readingOrder="0"/>
    </xf>
    <xf borderId="3" fillId="0" fontId="4" numFmtId="0" xfId="0" applyBorder="1" applyFont="1"/>
    <xf borderId="4" fillId="0" fontId="4" numFmtId="0" xfId="0" applyBorder="1" applyFont="1"/>
    <xf borderId="0" fillId="0" fontId="5" numFmtId="0" xfId="0" applyAlignment="1" applyFont="1">
      <alignment horizontal="center" readingOrder="0"/>
    </xf>
    <xf borderId="1" fillId="3" fontId="6" numFmtId="0" xfId="0" applyAlignment="1" applyBorder="1" applyFill="1" applyFont="1">
      <alignment horizontal="center" readingOrder="0"/>
    </xf>
    <xf borderId="1" fillId="4" fontId="7" numFmtId="0" xfId="0" applyAlignment="1" applyBorder="1" applyFill="1" applyFont="1">
      <alignment horizontal="center" readingOrder="0"/>
    </xf>
    <xf borderId="1" fillId="5" fontId="7" numFmtId="0" xfId="0" applyAlignment="1" applyBorder="1" applyFill="1" applyFont="1">
      <alignment horizontal="center" readingOrder="0"/>
    </xf>
    <xf borderId="1" fillId="6" fontId="7" numFmtId="0" xfId="0" applyAlignment="1" applyBorder="1" applyFill="1" applyFont="1">
      <alignment horizontal="center" readingOrder="0"/>
    </xf>
    <xf borderId="1" fillId="7" fontId="7" numFmtId="0" xfId="0" applyAlignment="1" applyBorder="1" applyFill="1" applyFont="1">
      <alignment horizontal="center" readingOrder="0"/>
    </xf>
    <xf borderId="0" fillId="0" fontId="7" numFmtId="0" xfId="0" applyAlignment="1" applyFont="1">
      <alignment horizontal="center" readingOrder="0"/>
    </xf>
    <xf borderId="1" fillId="3" fontId="5" numFmtId="0" xfId="0" applyAlignment="1" applyBorder="1" applyFont="1">
      <alignment horizontal="center" readingOrder="0"/>
    </xf>
    <xf borderId="1" fillId="4" fontId="5" numFmtId="165" xfId="0" applyAlignment="1" applyBorder="1" applyFont="1" applyNumberFormat="1">
      <alignment horizontal="center"/>
    </xf>
    <xf borderId="1" fillId="5" fontId="5" numFmtId="165" xfId="0" applyAlignment="1" applyBorder="1" applyFont="1" applyNumberFormat="1">
      <alignment horizontal="center" readingOrder="0"/>
    </xf>
    <xf borderId="1" fillId="6" fontId="5" numFmtId="165" xfId="0" applyAlignment="1" applyBorder="1" applyFont="1" applyNumberFormat="1">
      <alignment horizontal="center" readingOrder="0"/>
    </xf>
    <xf borderId="1" fillId="7" fontId="5" numFmtId="165" xfId="0" applyAlignment="1" applyBorder="1" applyFont="1" applyNumberFormat="1">
      <alignment horizontal="center" readingOrder="0"/>
    </xf>
    <xf borderId="0" fillId="0" fontId="8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Custo por Transportadora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'Tabela dinâmica'!$B$1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'Tabela dinâmica'!$A$2:$A$4</c:f>
            </c:strRef>
          </c:cat>
          <c:val>
            <c:numRef>
              <c:f>'Tabela dinâmica'!$B$2:$B$4</c:f>
              <c:numCache/>
            </c:numRef>
          </c:val>
        </c:ser>
        <c:axId val="671053987"/>
        <c:axId val="1308775325"/>
      </c:barChart>
      <c:catAx>
        <c:axId val="6710539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8775325"/>
      </c:catAx>
      <c:valAx>
        <c:axId val="13087753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10539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Custo por Cidade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'Tabela dinâmica'!$E$1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'Tabela dinâmica'!$D$2:$D$6</c:f>
            </c:strRef>
          </c:cat>
          <c:val>
            <c:numRef>
              <c:f>'Tabela dinâmica'!$E$2:$E$6</c:f>
              <c:numCache/>
            </c:numRef>
          </c:val>
        </c:ser>
        <c:axId val="866340248"/>
        <c:axId val="1301535954"/>
      </c:barChart>
      <c:catAx>
        <c:axId val="8663402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Cidade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1535954"/>
      </c:catAx>
      <c:valAx>
        <c:axId val="13015359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de Valor Frete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63402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Participação das Transportadoras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'Tabela dinâmica'!$B$1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'Tabela dinâmica'!$G$2:$G$4</c:f>
            </c:strRef>
          </c:cat>
          <c:val>
            <c:numRef>
              <c:f>'Tabela dinâmica'!$B$2:$B$4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Evolução dos Custos por Data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'Tabela dinâmica'!$K$1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'Tabela dinâmica'!$J$2:$J$9</c:f>
            </c:strRef>
          </c:cat>
          <c:val>
            <c:numRef>
              <c:f>'Tabela dinâmica'!$K$2:$K$9</c:f>
              <c:numCache/>
            </c:numRef>
          </c:val>
          <c:smooth val="0"/>
        </c:ser>
        <c:axId val="376231923"/>
        <c:axId val="576566887"/>
      </c:lineChart>
      <c:catAx>
        <c:axId val="3762319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6566887"/>
      </c:catAx>
      <c:valAx>
        <c:axId val="5765668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de Valor Frete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62319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561975</xdr:colOff>
      <xdr:row>3</xdr:row>
      <xdr:rowOff>0</xdr:rowOff>
    </xdr:from>
    <xdr:ext cx="3324225" cy="24574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15</xdr:row>
      <xdr:rowOff>57150</xdr:rowOff>
    </xdr:from>
    <xdr:ext cx="3324225" cy="245745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3</xdr:row>
      <xdr:rowOff>0</xdr:rowOff>
    </xdr:from>
    <xdr:ext cx="3324225" cy="245745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</xdr:col>
      <xdr:colOff>561975</xdr:colOff>
      <xdr:row>15</xdr:row>
      <xdr:rowOff>57150</xdr:rowOff>
    </xdr:from>
    <xdr:ext cx="3324225" cy="2457450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16" sheet="Dados"/>
  </cacheSource>
  <cacheFields>
    <cacheField name="NF" numFmtId="0">
      <sharedItems containsSemiMixedTypes="0" containsString="0" containsNumber="1" containsInteger="1"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</sharedItems>
    </cacheField>
    <cacheField name="Data" numFmtId="164">
      <sharedItems containsSemiMixedTypes="0" containsDate="1" containsString="0">
        <d v="2026-06-01T00:00:00Z"/>
        <d v="2026-06-02T00:00:00Z"/>
        <d v="2026-06-03T00:00:00Z"/>
        <d v="2026-06-04T00:00:00Z"/>
        <d v="2026-06-05T00:00:00Z"/>
        <d v="2026-06-06T00:00:00Z"/>
        <d v="2026-06-07T00:00:00Z"/>
        <d v="2026-06-08T00:00:00Z"/>
      </sharedItems>
    </cacheField>
    <cacheField name="Cidade" numFmtId="0">
      <sharedItems>
        <s v="Imperatriz"/>
        <s v="Balsas"/>
        <s v="São Luís"/>
        <s v="Bacabal"/>
        <s v="Timon"/>
      </sharedItems>
    </cacheField>
    <cacheField name="Transportadora" numFmtId="0">
      <sharedItems>
        <s v="A"/>
        <s v="B"/>
        <s v="C"/>
      </sharedItems>
    </cacheField>
    <cacheField name="Peso (kg)" numFmtId="0">
      <sharedItems containsSemiMixedTypes="0" containsString="0" containsNumber="1" containsInteger="1">
        <n v="120.0"/>
        <n v="200.0"/>
        <n v="90.0"/>
        <n v="150.0"/>
        <n v="80.0"/>
        <n v="210.0"/>
        <n v="160.0"/>
        <n v="180.0"/>
        <n v="140.0"/>
        <n v="130.0"/>
        <n v="170.0"/>
        <n v="220.0"/>
        <n v="190.0"/>
      </sharedItems>
    </cacheField>
    <cacheField name="Distância (km)" numFmtId="0">
      <sharedItems containsSemiMixedTypes="0" containsString="0" containsNumber="1" containsInteger="1">
        <n v="300.0"/>
        <n v="420.0"/>
        <n v="620.0"/>
        <n v="380.0"/>
        <n v="460.0"/>
        <n v="310.0"/>
      </sharedItems>
    </cacheField>
    <cacheField name="Valor Frete" numFmtId="0">
      <sharedItems containsSemiMixedTypes="0" containsString="0" containsNumber="1" containsInteger="1">
        <n v="250.0"/>
        <n v="380.0"/>
        <n v="500.0"/>
        <n v="330.0"/>
        <n v="310.0"/>
        <n v="420.0"/>
        <n v="390.0"/>
        <n v="620.0"/>
        <n v="290.0"/>
        <n v="260.0"/>
        <n v="370.0"/>
        <n v="650.0"/>
        <n v="280.0"/>
        <n v="410.0"/>
        <n v="340.0"/>
      </sharedItems>
    </cacheField>
    <cacheField name="Prazo" numFmtId="0">
      <sharedItems containsSemiMixedTypes="0" containsString="0" containsNumber="1" containsInteger="1">
        <n v="2.0"/>
        <n v="3.0"/>
        <n v="5.0"/>
        <n v="4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" cacheId="0" dataCaption="" compact="0" compactData="0">
  <location ref="A1:B5" firstHeaderRow="0" firstDataRow="1" firstDataCol="0"/>
  <pivotFields>
    <pivotField name="NF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at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ida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ransportadora" axis="axisRow" compact="0" outline="0" multipleItemSelectionAllowed="1" showAll="0" sortType="ascending">
      <items>
        <item x="0"/>
        <item x="1"/>
        <item x="2"/>
        <item t="default"/>
      </items>
    </pivotField>
    <pivotField name="Peso (kg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Distância (km)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Valor Fret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razo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3"/>
  </rowFields>
  <dataFields>
    <dataField name="SUM of Valor Frete" fld="6" baseField="0"/>
  </dataFields>
</pivotTableDefinition>
</file>

<file path=xl/pivotTables/pivotTable2.xml><?xml version="1.0" encoding="utf-8"?>
<pivotTableDefinition xmlns="http://schemas.openxmlformats.org/spreadsheetml/2006/main" name="Tabela dinâmica 2" cacheId="0" dataCaption="" compact="0" compactData="0">
  <location ref="D1:E7" firstHeaderRow="0" firstDataRow="1" firstDataCol="0"/>
  <pivotFields>
    <pivotField name="NF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at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idade" axis="axisRow" compact="0" outline="0" multipleItemSelectionAllowed="1" showAll="0" sortType="ascending">
      <items>
        <item x="3"/>
        <item x="1"/>
        <item x="0"/>
        <item x="2"/>
        <item x="4"/>
        <item t="default"/>
      </items>
    </pivotField>
    <pivotField name="Transportadora" compact="0" outline="0" multipleItemSelectionAllowed="1" showAll="0">
      <items>
        <item x="0"/>
        <item x="1"/>
        <item x="2"/>
        <item t="default"/>
      </items>
    </pivotField>
    <pivotField name="Peso (kg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Distância (km)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Valor Fret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razo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2"/>
  </rowFields>
  <dataFields>
    <dataField name="SUM of Valor Frete" fld="6" baseField="0"/>
  </dataFields>
</pivotTableDefinition>
</file>

<file path=xl/pivotTables/pivotTable3.xml><?xml version="1.0" encoding="utf-8"?>
<pivotTableDefinition xmlns="http://schemas.openxmlformats.org/spreadsheetml/2006/main" name="Tabela dinâmica 3" cacheId="0" dataCaption="" compact="0" compactData="0">
  <location ref="G1:H5" firstHeaderRow="0" firstDataRow="1" firstDataCol="0"/>
  <pivotFields>
    <pivotField name="NF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at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ida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ransportadora" axis="axisRow" compact="0" outline="0" multipleItemSelectionAllowed="1" showAll="0" sortType="ascending">
      <items>
        <item x="0"/>
        <item x="1"/>
        <item x="2"/>
        <item t="default"/>
      </items>
    </pivotField>
    <pivotField name="Peso (kg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Distância (km)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Valor Fre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razo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3"/>
  </rowFields>
  <dataFields>
    <dataField name="COUNT of NF" fld="0" subtotal="countNums" baseField="0"/>
  </dataFields>
</pivotTableDefinition>
</file>

<file path=xl/pivotTables/pivotTable4.xml><?xml version="1.0" encoding="utf-8"?>
<pivotTableDefinition xmlns="http://schemas.openxmlformats.org/spreadsheetml/2006/main" name="Tabela dinâmica 4" cacheId="0" dataCaption="" compact="0" compactData="0">
  <location ref="J1:K10" firstHeaderRow="0" firstDataRow="1" firstDataCol="0"/>
  <pivotFields>
    <pivotField name="NF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ata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t="default"/>
      </items>
    </pivotField>
    <pivotField name="Cida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ransportadora" compact="0" outline="0" multipleItemSelectionAllowed="1" showAll="0">
      <items>
        <item x="0"/>
        <item x="1"/>
        <item x="2"/>
        <item t="default"/>
      </items>
    </pivotField>
    <pivotField name="Peso (kg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Distância (km)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Valor Fret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razo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1"/>
  </rowFields>
  <dataFields>
    <dataField name="SUM of Valor Frete" fld="6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1001.0</v>
      </c>
      <c r="B2" s="3">
        <v>46174.0</v>
      </c>
      <c r="C2" s="2" t="s">
        <v>8</v>
      </c>
      <c r="D2" s="2" t="s">
        <v>9</v>
      </c>
      <c r="E2" s="2">
        <v>120.0</v>
      </c>
      <c r="F2" s="2">
        <v>300.0</v>
      </c>
      <c r="G2" s="2">
        <v>250.0</v>
      </c>
      <c r="H2" s="2">
        <v>2.0</v>
      </c>
    </row>
    <row r="3">
      <c r="A3" s="2">
        <v>1002.0</v>
      </c>
      <c r="B3" s="3">
        <v>46174.0</v>
      </c>
      <c r="C3" s="2" t="s">
        <v>10</v>
      </c>
      <c r="D3" s="2" t="s">
        <v>11</v>
      </c>
      <c r="E3" s="2">
        <v>200.0</v>
      </c>
      <c r="F3" s="2">
        <v>420.0</v>
      </c>
      <c r="G3" s="2">
        <v>380.0</v>
      </c>
      <c r="H3" s="2">
        <v>3.0</v>
      </c>
    </row>
    <row r="4">
      <c r="A4" s="2">
        <v>1003.0</v>
      </c>
      <c r="B4" s="3">
        <v>46175.0</v>
      </c>
      <c r="C4" s="2" t="s">
        <v>12</v>
      </c>
      <c r="D4" s="2" t="s">
        <v>9</v>
      </c>
      <c r="E4" s="2">
        <v>90.0</v>
      </c>
      <c r="F4" s="2">
        <v>620.0</v>
      </c>
      <c r="G4" s="2">
        <v>500.0</v>
      </c>
      <c r="H4" s="2">
        <v>5.0</v>
      </c>
    </row>
    <row r="5">
      <c r="A5" s="2">
        <v>1004.0</v>
      </c>
      <c r="B5" s="3">
        <v>46175.0</v>
      </c>
      <c r="C5" s="2" t="s">
        <v>13</v>
      </c>
      <c r="D5" s="2" t="s">
        <v>14</v>
      </c>
      <c r="E5" s="2">
        <v>150.0</v>
      </c>
      <c r="F5" s="2">
        <v>380.0</v>
      </c>
      <c r="G5" s="2">
        <v>330.0</v>
      </c>
      <c r="H5" s="2">
        <v>3.0</v>
      </c>
    </row>
    <row r="6">
      <c r="A6" s="2">
        <v>1005.0</v>
      </c>
      <c r="B6" s="3">
        <v>46176.0</v>
      </c>
      <c r="C6" s="2" t="s">
        <v>15</v>
      </c>
      <c r="D6" s="2" t="s">
        <v>11</v>
      </c>
      <c r="E6" s="2">
        <v>80.0</v>
      </c>
      <c r="F6" s="2">
        <v>460.0</v>
      </c>
      <c r="G6" s="2">
        <v>310.0</v>
      </c>
      <c r="H6" s="2">
        <v>4.0</v>
      </c>
    </row>
    <row r="7">
      <c r="A7" s="2">
        <v>1006.0</v>
      </c>
      <c r="B7" s="3">
        <v>46176.0</v>
      </c>
      <c r="C7" s="2" t="s">
        <v>8</v>
      </c>
      <c r="D7" s="2" t="s">
        <v>14</v>
      </c>
      <c r="E7" s="2">
        <v>210.0</v>
      </c>
      <c r="F7" s="2">
        <v>310.0</v>
      </c>
      <c r="G7" s="2">
        <v>420.0</v>
      </c>
      <c r="H7" s="2">
        <v>2.0</v>
      </c>
    </row>
    <row r="8">
      <c r="A8" s="2">
        <v>1007.0</v>
      </c>
      <c r="B8" s="3">
        <v>46177.0</v>
      </c>
      <c r="C8" s="2" t="s">
        <v>10</v>
      </c>
      <c r="D8" s="2" t="s">
        <v>9</v>
      </c>
      <c r="E8" s="2">
        <v>160.0</v>
      </c>
      <c r="F8" s="2">
        <v>420.0</v>
      </c>
      <c r="G8" s="2">
        <v>390.0</v>
      </c>
      <c r="H8" s="2">
        <v>3.0</v>
      </c>
    </row>
    <row r="9">
      <c r="A9" s="2">
        <v>1008.0</v>
      </c>
      <c r="B9" s="3">
        <v>46177.0</v>
      </c>
      <c r="C9" s="2" t="s">
        <v>12</v>
      </c>
      <c r="D9" s="2" t="s">
        <v>11</v>
      </c>
      <c r="E9" s="2">
        <v>180.0</v>
      </c>
      <c r="F9" s="2">
        <v>620.0</v>
      </c>
      <c r="G9" s="2">
        <v>620.0</v>
      </c>
      <c r="H9" s="2">
        <v>5.0</v>
      </c>
    </row>
    <row r="10">
      <c r="A10" s="2">
        <v>1009.0</v>
      </c>
      <c r="B10" s="3">
        <v>46178.0</v>
      </c>
      <c r="C10" s="2" t="s">
        <v>13</v>
      </c>
      <c r="D10" s="2" t="s">
        <v>14</v>
      </c>
      <c r="E10" s="2">
        <v>140.0</v>
      </c>
      <c r="F10" s="2">
        <v>380.0</v>
      </c>
      <c r="G10" s="2">
        <v>290.0</v>
      </c>
      <c r="H10" s="2">
        <v>3.0</v>
      </c>
    </row>
    <row r="11">
      <c r="A11" s="2">
        <v>1010.0</v>
      </c>
      <c r="B11" s="3">
        <v>46178.0</v>
      </c>
      <c r="C11" s="2" t="s">
        <v>8</v>
      </c>
      <c r="D11" s="2" t="s">
        <v>9</v>
      </c>
      <c r="E11" s="2">
        <v>130.0</v>
      </c>
      <c r="F11" s="2">
        <v>300.0</v>
      </c>
      <c r="G11" s="2">
        <v>260.0</v>
      </c>
      <c r="H11" s="2">
        <v>2.0</v>
      </c>
    </row>
    <row r="12">
      <c r="A12" s="2">
        <v>1011.0</v>
      </c>
      <c r="B12" s="3">
        <v>46179.0</v>
      </c>
      <c r="C12" s="2" t="s">
        <v>15</v>
      </c>
      <c r="D12" s="2" t="s">
        <v>14</v>
      </c>
      <c r="E12" s="2">
        <v>170.0</v>
      </c>
      <c r="F12" s="2">
        <v>460.0</v>
      </c>
      <c r="G12" s="2">
        <v>370.0</v>
      </c>
      <c r="H12" s="2">
        <v>4.0</v>
      </c>
    </row>
    <row r="13">
      <c r="A13" s="2">
        <v>1012.0</v>
      </c>
      <c r="B13" s="3">
        <v>46179.0</v>
      </c>
      <c r="C13" s="2" t="s">
        <v>12</v>
      </c>
      <c r="D13" s="2" t="s">
        <v>11</v>
      </c>
      <c r="E13" s="2">
        <v>220.0</v>
      </c>
      <c r="F13" s="2">
        <v>620.0</v>
      </c>
      <c r="G13" s="2">
        <v>650.0</v>
      </c>
      <c r="H13" s="2">
        <v>5.0</v>
      </c>
    </row>
    <row r="14">
      <c r="A14" s="2">
        <v>1013.0</v>
      </c>
      <c r="B14" s="3">
        <v>46180.0</v>
      </c>
      <c r="C14" s="2" t="s">
        <v>8</v>
      </c>
      <c r="D14" s="2" t="s">
        <v>9</v>
      </c>
      <c r="E14" s="2">
        <v>150.0</v>
      </c>
      <c r="F14" s="2">
        <v>300.0</v>
      </c>
      <c r="G14" s="2">
        <v>280.0</v>
      </c>
      <c r="H14" s="2">
        <v>2.0</v>
      </c>
    </row>
    <row r="15">
      <c r="A15" s="2">
        <v>1014.0</v>
      </c>
      <c r="B15" s="3">
        <v>46180.0</v>
      </c>
      <c r="C15" s="2" t="s">
        <v>10</v>
      </c>
      <c r="D15" s="2" t="s">
        <v>11</v>
      </c>
      <c r="E15" s="2">
        <v>190.0</v>
      </c>
      <c r="F15" s="2">
        <v>420.0</v>
      </c>
      <c r="G15" s="2">
        <v>410.0</v>
      </c>
      <c r="H15" s="2">
        <v>3.0</v>
      </c>
    </row>
    <row r="16">
      <c r="A16" s="2">
        <v>1015.0</v>
      </c>
      <c r="B16" s="3">
        <v>46181.0</v>
      </c>
      <c r="C16" s="2" t="s">
        <v>13</v>
      </c>
      <c r="D16" s="2" t="s">
        <v>14</v>
      </c>
      <c r="E16" s="2">
        <v>160.0</v>
      </c>
      <c r="F16" s="2">
        <v>380.0</v>
      </c>
      <c r="G16" s="2">
        <v>340.0</v>
      </c>
      <c r="H16" s="2">
        <v>3.0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19.63"/>
    <col customWidth="1" min="3" max="4" width="17.0"/>
    <col customWidth="1" min="5" max="5" width="17.13"/>
    <col customWidth="1" min="7" max="7" width="9.0"/>
  </cols>
  <sheetData>
    <row r="1">
      <c r="A1" s="4" t="s">
        <v>16</v>
      </c>
      <c r="B1" s="5"/>
      <c r="C1" s="5"/>
      <c r="D1" s="5"/>
      <c r="E1" s="6"/>
      <c r="F1" s="7"/>
      <c r="G1" s="7"/>
    </row>
    <row r="2">
      <c r="A2" s="8" t="s">
        <v>17</v>
      </c>
      <c r="B2" s="9" t="s">
        <v>18</v>
      </c>
      <c r="C2" s="10" t="s">
        <v>19</v>
      </c>
      <c r="D2" s="11" t="s">
        <v>20</v>
      </c>
      <c r="E2" s="12" t="s">
        <v>21</v>
      </c>
      <c r="G2" s="13"/>
    </row>
    <row r="3">
      <c r="A3" s="14">
        <v>15.0</v>
      </c>
      <c r="B3" s="15">
        <v>5800.0</v>
      </c>
      <c r="C3" s="16">
        <v>386.67</v>
      </c>
      <c r="D3" s="17">
        <v>650.0</v>
      </c>
      <c r="E3" s="18">
        <v>250.0</v>
      </c>
    </row>
    <row r="4">
      <c r="A4" s="7"/>
      <c r="D4" s="7"/>
    </row>
    <row r="17">
      <c r="A17" s="19"/>
      <c r="D17" s="20"/>
    </row>
    <row r="18">
      <c r="B18" s="13"/>
      <c r="C18" s="13"/>
    </row>
  </sheetData>
  <mergeCells count="5">
    <mergeCell ref="A4:C4"/>
    <mergeCell ref="A17:C17"/>
    <mergeCell ref="D4:E4"/>
    <mergeCell ref="D17:F17"/>
    <mergeCell ref="A1:E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3.75"/>
    <col customWidth="1" min="2" max="2" width="17.38"/>
    <col customWidth="1" min="3" max="3" width="7.75"/>
    <col customWidth="1" min="4" max="4" width="14.38"/>
    <col customWidth="1" min="5" max="5" width="17.13"/>
    <col customWidth="1" min="6" max="6" width="5.38"/>
    <col customWidth="1" min="9" max="9" width="5.38"/>
    <col customWidth="1" min="10" max="10" width="13.75"/>
    <col customWidth="1" min="11" max="11" width="18.0"/>
  </cols>
  <sheetData>
    <row r="1"/>
    <row r="2"/>
    <row r="3"/>
    <row r="4"/>
    <row r="5"/>
    <row r="6"/>
    <row r="7"/>
    <row r="8"/>
    <row r="9"/>
    <row r="10"/>
  </sheetData>
  <drawing r:id="rId5"/>
</worksheet>
</file>